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io.sharepoint.com/sites/NORN-ERCADG2021/Delte dokumenter/General/Heidi og Ellens hemmelige prosjekt/1800-1849/"/>
    </mc:Choice>
  </mc:AlternateContent>
  <xr:revisionPtr revIDLastSave="14" documentId="8_{46F78EC9-CB57-4D31-9EBA-FF12DF7702EA}" xr6:coauthVersionLast="47" xr6:coauthVersionMax="47" xr10:uidLastSave="{A6BD66BD-D05F-48CF-AAB8-6978892E1A7A}"/>
  <bookViews>
    <workbookView xWindow="-110" yWindow="-110" windowWidth="19420" windowHeight="11500" xr2:uid="{169F67BD-B2A5-4DA4-B1C7-4EE297AD9C2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" i="1" l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<sst xmlns="http://schemas.openxmlformats.org/spreadsheetml/2006/main" count="430" uniqueCount="246">
  <si>
    <t>urn</t>
  </si>
  <si>
    <t>author</t>
  </si>
  <si>
    <t>title</t>
  </si>
  <si>
    <t>genre</t>
  </si>
  <si>
    <t>acts</t>
  </si>
  <si>
    <t>term</t>
  </si>
  <si>
    <t>year</t>
  </si>
  <si>
    <t>OCR_korreksjon</t>
  </si>
  <si>
    <t>DDS 1799-1844</t>
  </si>
  <si>
    <t>CT 1827-99</t>
  </si>
  <si>
    <t>DNT 1850-63</t>
  </si>
  <si>
    <t>KNT 1852-63</t>
  </si>
  <si>
    <t>DNS 1876-99</t>
  </si>
  <si>
    <t>Sum</t>
  </si>
  <si>
    <t>publisher</t>
  </si>
  <si>
    <t>place</t>
  </si>
  <si>
    <t>notater</t>
  </si>
  <si>
    <t>URN:NBN:no-nb_digibok_2019110448027</t>
  </si>
  <si>
    <t>Brun, Johan Nordahl</t>
  </si>
  <si>
    <t>Officieren</t>
  </si>
  <si>
    <t>Skuespil</t>
  </si>
  <si>
    <t>handling</t>
  </si>
  <si>
    <t>X (påbegynt)</t>
  </si>
  <si>
    <t>Malling</t>
  </si>
  <si>
    <t>Christiania</t>
  </si>
  <si>
    <t>URN:NBN:no-nb_digibok_2013071726010</t>
  </si>
  <si>
    <t>Platou, Ludvig Stoud</t>
  </si>
  <si>
    <t>Fredshaabet, eller Trilling-Søstrene i Nord</t>
  </si>
  <si>
    <t>Prolog</t>
  </si>
  <si>
    <t>ikke oppgitt</t>
  </si>
  <si>
    <t>X</t>
  </si>
  <si>
    <t>Cammermeyer</t>
  </si>
  <si>
    <t>Kristiania</t>
  </si>
  <si>
    <t>På bokomslaget står det "Funksjonell endometridiagnostikk" (!)</t>
  </si>
  <si>
    <t>URN:NBN:no-nb_digibok_2012041113010</t>
  </si>
  <si>
    <t>Horn, Hans Iver</t>
  </si>
  <si>
    <t>Kapertoget</t>
  </si>
  <si>
    <t>Nationalt Syngespil</t>
  </si>
  <si>
    <t>akt</t>
  </si>
  <si>
    <t>I komm. hos Jul. Gjellerup</t>
  </si>
  <si>
    <t>Kjøbenhavn</t>
  </si>
  <si>
    <t>Fredsfesten</t>
  </si>
  <si>
    <t>Huusligt Optrin i Anledningen af Fredslutningen i Jönköping</t>
  </si>
  <si>
    <t>URN:NBN:no-nb_digibok_2018112826084</t>
  </si>
  <si>
    <t>Falsen, Christian Magnus</t>
  </si>
  <si>
    <t>Den mundtlige og skriftlige Procedure, eller kjære Hr. Procurator, hvad har jeg da gjort?</t>
  </si>
  <si>
    <t>Lystspil</t>
  </si>
  <si>
    <t>URN:NBN:no-nb_digibok_2019061226005</t>
  </si>
  <si>
    <t>Falsen, Enevold de</t>
  </si>
  <si>
    <t>Idda</t>
  </si>
  <si>
    <t>Drama</t>
  </si>
  <si>
    <t>URN:NBN:no-nb_digibok_2018121326001</t>
  </si>
  <si>
    <t>Pram, Christen Henriksen</t>
  </si>
  <si>
    <t>Drømmeren</t>
  </si>
  <si>
    <t>optog</t>
  </si>
  <si>
    <t>Feilberg &amp; Landmark</t>
  </si>
  <si>
    <t>URN:NBN:no-nb_digibok_2009081910005</t>
  </si>
  <si>
    <t>Munch, Johan Storm</t>
  </si>
  <si>
    <t>Stormen</t>
  </si>
  <si>
    <t>Nordisk Forlag</t>
  </si>
  <si>
    <t>København</t>
  </si>
  <si>
    <t>Hansen, Maurits C.</t>
  </si>
  <si>
    <t>Den gjenfundne Søster</t>
  </si>
  <si>
    <t>Historisk-romantisk Drama</t>
  </si>
  <si>
    <t>Den norske Forlagsforening</t>
  </si>
  <si>
    <t>Bjerregaard, Henrik Anker</t>
  </si>
  <si>
    <t>Holbergs Minde</t>
  </si>
  <si>
    <t>Forspil</t>
  </si>
  <si>
    <t>URN:NBN:no-nb_digibok_2020083128014</t>
  </si>
  <si>
    <t>Faye, Gerhard</t>
  </si>
  <si>
    <t>Clementine af Porcella</t>
  </si>
  <si>
    <t>Sørgespil</t>
  </si>
  <si>
    <t>URN:NBN:no-nb_digibok_2020083128016</t>
  </si>
  <si>
    <t>Wang, Johan Storm</t>
  </si>
  <si>
    <t>Asbrandurs Fest</t>
  </si>
  <si>
    <t>URN:NBN:no-nb_digibok_2019102226006</t>
  </si>
  <si>
    <t>Fjeldeventyret</t>
  </si>
  <si>
    <t>Syngespil</t>
  </si>
  <si>
    <t>Trykt i det Wulfsbergske Bogtrykkerie af R. Hviid</t>
  </si>
  <si>
    <t>URN:NBN:no-nb_digibok_2009081012007</t>
  </si>
  <si>
    <t>Præsten i Hallingdal eller: Hævnen</t>
  </si>
  <si>
    <t>Sagn fra Hallingdalen</t>
  </si>
  <si>
    <t>URN:NBN:no-nb_digibok_2019102226004</t>
  </si>
  <si>
    <t>Clara eller Uskyldighedens Magt</t>
  </si>
  <si>
    <t>Gyldendal</t>
  </si>
  <si>
    <t>URN:NBN:no-nb_digibok_2013062726002</t>
  </si>
  <si>
    <t>Folkefesten den 17de Mai</t>
  </si>
  <si>
    <t>Trykt og tilkjøbs hos A. Halvorsen. Øvre Slotsgade No. 9</t>
  </si>
  <si>
    <t>URN:NBN:no-nb_digibok_2011062208091</t>
  </si>
  <si>
    <t>Wergeland, Henrik</t>
  </si>
  <si>
    <t>Sinclars Død</t>
  </si>
  <si>
    <t>også "historisk skuespil" på tittelbladet</t>
  </si>
  <si>
    <t>URN:NBN:no-nb_digibok_2019110448031</t>
  </si>
  <si>
    <t>Irreparabile Tempus, Farce med Efterspil</t>
  </si>
  <si>
    <t>Farce med Efterspil</t>
  </si>
  <si>
    <t>URN:NBN:no-nb_digibok_2020031226010</t>
  </si>
  <si>
    <t>Hals, Jørgen Michelet</t>
  </si>
  <si>
    <t>Kong Half</t>
  </si>
  <si>
    <t>Gyldendalske boghandels forlag</t>
  </si>
  <si>
    <t>Geheime-Overfinantsraaden</t>
  </si>
  <si>
    <t>Gyldendalske Boghandel</t>
  </si>
  <si>
    <t>URN:NBN:no-nb_digibok_2017032026006</t>
  </si>
  <si>
    <t>Phantasmer, efter Ravnekrog-Poetens Manuscript</t>
  </si>
  <si>
    <t>Feilberg &amp; Landmarks Forlag. Werner &amp; Comp.'s Tryk.</t>
  </si>
  <si>
    <t>URN:NBN:no-nb_digibok_2019040826001</t>
  </si>
  <si>
    <t>Holm, Ole Rein</t>
  </si>
  <si>
    <t>Bostonpartiet</t>
  </si>
  <si>
    <t>Farce</t>
  </si>
  <si>
    <t>Trykt i W.C. Fabritius's Officin</t>
  </si>
  <si>
    <t>URN:NBN:no-nb_digibok_2009021212004</t>
  </si>
  <si>
    <t>Magnus Barfods Sønner</t>
  </si>
  <si>
    <t>Historisk Skuespil</t>
  </si>
  <si>
    <t>Trykt hos J.C. Abelsted</t>
  </si>
  <si>
    <t>URN:NBN:no-nb_digibok_2019110448030</t>
  </si>
  <si>
    <t>Harlequin Virtuos</t>
  </si>
  <si>
    <t>URN:NBN:no-nb_digibok_2017111348041</t>
  </si>
  <si>
    <t>Opium</t>
  </si>
  <si>
    <t>URN:NBN:no-nb_digibok_2019070529001</t>
  </si>
  <si>
    <t>Dragedukken</t>
  </si>
  <si>
    <t>Gyldendalske Boghandels Forl.</t>
  </si>
  <si>
    <t>URN:NBN:no-nb_digibok_2008010810007</t>
  </si>
  <si>
    <t>Den indiske Cholera</t>
  </si>
  <si>
    <t>Bertrand Jensen</t>
  </si>
  <si>
    <t>Oslo</t>
  </si>
  <si>
    <t>URN:NBN:no-nb_digibok_2008022710002</t>
  </si>
  <si>
    <t>Barnemordersken</t>
  </si>
  <si>
    <t>URN:NBN:no-nb_digibok_2019020126002</t>
  </si>
  <si>
    <t>De sidste Kloge</t>
  </si>
  <si>
    <t>URN:NBN:no-nb_digibok_2017032026007</t>
  </si>
  <si>
    <t>Papegøien</t>
  </si>
  <si>
    <t>Fastelavnsriis</t>
  </si>
  <si>
    <t>URN:NBN:no-nb_digibok_2008052102002</t>
  </si>
  <si>
    <t>Campbellerne, eller Den hjemkomne Søn</t>
  </si>
  <si>
    <t>Syngestykke</t>
  </si>
  <si>
    <t>P.G. Philipsens Forlag</t>
  </si>
  <si>
    <t>URN:NBN:no-nb_digibok_2020021248500</t>
  </si>
  <si>
    <t>Munch, Andreas</t>
  </si>
  <si>
    <t>Kong Sverres Ungdom</t>
  </si>
  <si>
    <t>Litlerés bokhandel</t>
  </si>
  <si>
    <t>Bergen</t>
  </si>
  <si>
    <t>URN:NBN:no-nb_digibok_2021030226025</t>
  </si>
  <si>
    <t>Blom, Hans Ørn</t>
  </si>
  <si>
    <t>Medaillonen eller Den igjenfundne Søn</t>
  </si>
  <si>
    <t>Forlagt af Johan Dahl</t>
  </si>
  <si>
    <t>URN:NBN:no-nb_digibok_2017111348039</t>
  </si>
  <si>
    <t>Kong Sverre, eller Hakon Sverresøns første Kjærlighed</t>
  </si>
  <si>
    <t>Kiøbenhavn</t>
  </si>
  <si>
    <t>Allum, Hans</t>
  </si>
  <si>
    <t>De to syngende Værter</t>
  </si>
  <si>
    <t>optrin</t>
  </si>
  <si>
    <t>URN:NBN:no-nb_digibok_2008081102004</t>
  </si>
  <si>
    <t>Selskabet "Kringla" eller "Norske Almacks"</t>
  </si>
  <si>
    <t>Gyldendalske boghandels forl.</t>
  </si>
  <si>
    <t>URN:NBN:no-nb_digibok_2007072303002</t>
  </si>
  <si>
    <t>Den hjemkomne Søn eller En Nutidens Jean de France</t>
  </si>
  <si>
    <t>Komedie</t>
  </si>
  <si>
    <t>URN:NBN:no-nb_digibok_2016101928009</t>
  </si>
  <si>
    <t>Broder Ebben i Fødelandet, eller Amerikareisen</t>
  </si>
  <si>
    <t>Norsk-patriotisk Statsmoralsk Skuespil</t>
  </si>
  <si>
    <t>Chr. Tønsbergs Forlag</t>
  </si>
  <si>
    <t>URN:NBN:no-nb_digibok_2013080508259</t>
  </si>
  <si>
    <t>Den konstitutionelle</t>
  </si>
  <si>
    <t>Nissespil</t>
  </si>
  <si>
    <t>M. Litleré</t>
  </si>
  <si>
    <t>Donna Clara</t>
  </si>
  <si>
    <t>Natscene</t>
  </si>
  <si>
    <t>Gyldendalske Boghandels Forlag</t>
  </si>
  <si>
    <t>URN:NBN:no-nb_digibok_2020022148515</t>
  </si>
  <si>
    <t>Olsen, Rolf</t>
  </si>
  <si>
    <t>Den sidste Viking</t>
  </si>
  <si>
    <t>Tragedie</t>
  </si>
  <si>
    <t>Paa H.T. Winthers Forlag. Trykt i Forlæggerens Officin af P.T. Mallling</t>
  </si>
  <si>
    <t>URN:NBN:no-nb_digibok_2008022710004</t>
  </si>
  <si>
    <t>Verden tilhører os Jurister!</t>
  </si>
  <si>
    <t>Dramatisk Eventyr</t>
  </si>
  <si>
    <t>URN:NBN:no-nb_digibok_2018060148548</t>
  </si>
  <si>
    <t>Frieren og hans Fætter</t>
  </si>
  <si>
    <t>Stabell, Eleonore Wilhelmine</t>
  </si>
  <si>
    <t>Den gode Datter</t>
  </si>
  <si>
    <t>URN:NBN:no-nb_digibok_2008022712003</t>
  </si>
  <si>
    <t>Venetianerne, eller Venskab og Kjærlighed</t>
  </si>
  <si>
    <t>Udgiverens Forlag</t>
  </si>
  <si>
    <t>Throndhjem</t>
  </si>
  <si>
    <t>Tordenskjold</t>
  </si>
  <si>
    <t>Vaudeville</t>
  </si>
  <si>
    <t>Trykt i det Lundhske Bogtrykkeri af C. L. Roshauw</t>
  </si>
  <si>
    <t>URN:NBN:no-nb_digibok_2012070913001</t>
  </si>
  <si>
    <t>Homann, Peter Jacob</t>
  </si>
  <si>
    <t>Ordinær Kjærlighed</t>
  </si>
  <si>
    <t>Dramatisk Skizze</t>
  </si>
  <si>
    <t>Aschehoug</t>
  </si>
  <si>
    <t>URN:NBN:no-nb_digibok_2018080226011</t>
  </si>
  <si>
    <t>Faye, Ludvig</t>
  </si>
  <si>
    <t>Leopold</t>
  </si>
  <si>
    <t>Østberg, Nikolai Ramm</t>
  </si>
  <si>
    <t>En Husjomfru</t>
  </si>
  <si>
    <t>I Commission hos Jac. Dybwad</t>
  </si>
  <si>
    <t>URN:NBN:no-nb_digibok_2017060626015</t>
  </si>
  <si>
    <t>Juell, C.F.</t>
  </si>
  <si>
    <t>En Incassator-Floks første Afribning</t>
  </si>
  <si>
    <t>URN:NBN:no-nb_digibok_2019071548500</t>
  </si>
  <si>
    <t>Brun, Michael Wallem</t>
  </si>
  <si>
    <t>Gustav den III</t>
  </si>
  <si>
    <t>URN:NBN:no-nb_digibok_2018010826012</t>
  </si>
  <si>
    <t>Markedsgjæsterne</t>
  </si>
  <si>
    <t>Unglyden</t>
  </si>
  <si>
    <t>Voss</t>
  </si>
  <si>
    <t>URN:NBN:no-nb_digibok_2009082510004</t>
  </si>
  <si>
    <t>Degn, Peder</t>
  </si>
  <si>
    <t xml:space="preserve">Skrædderdatteren </t>
  </si>
  <si>
    <t>Samfundsballet</t>
  </si>
  <si>
    <t>Et Efterspil</t>
  </si>
  <si>
    <t>URN:NBN:no-nb_digibok_2017032926003</t>
  </si>
  <si>
    <t xml:space="preserve">Olsen, Rolf </t>
  </si>
  <si>
    <t>Salonen, eller Intrigen i Kræmmerhuset</t>
  </si>
  <si>
    <t>URN:NBN:no-nb_digibok_2013080508344</t>
  </si>
  <si>
    <t>Krydsbetjenten</t>
  </si>
  <si>
    <t>URN:NBN:no-nb_digibok_2016111626001</t>
  </si>
  <si>
    <t>Fjeldstuen</t>
  </si>
  <si>
    <t>Skuespil med Sang</t>
  </si>
  <si>
    <t>URN:NBN:no-nb_digibok_2017032828001</t>
  </si>
  <si>
    <t>Søkadetterne iland</t>
  </si>
  <si>
    <t>Lystspil med Sang</t>
  </si>
  <si>
    <t>Philipsen</t>
  </si>
  <si>
    <t>URN:NBN:no-nb_digibok_2017032926002</t>
  </si>
  <si>
    <t>Sanct Olafs Dag</t>
  </si>
  <si>
    <t>URN:NBN:no-nb_digibok_2016053026001</t>
  </si>
  <si>
    <t>Rosenkilde, Adolf</t>
  </si>
  <si>
    <t>En Jøde i Mandal</t>
  </si>
  <si>
    <t>Isachsen, Andreas Hornbech</t>
  </si>
  <si>
    <t>M.S.</t>
  </si>
  <si>
    <t>Vaudeville-Bagatell</t>
  </si>
  <si>
    <t>Geelmuydens Enke</t>
  </si>
  <si>
    <t>URN:NBN:no-nb_digibok_2016060926003</t>
  </si>
  <si>
    <t>Kontrolløren, eller Eventyr paa Landet</t>
  </si>
  <si>
    <t>Cappelen</t>
  </si>
  <si>
    <t>URN:NBN:no-nb_digibok_2016052626004</t>
  </si>
  <si>
    <t>Horn, Erik Frederik Barth</t>
  </si>
  <si>
    <t>Evige løier</t>
  </si>
  <si>
    <t>Burlesk-dramatisk Skizze</t>
  </si>
  <si>
    <t>URN:NBN:no-nb_digibok_2020031226011</t>
  </si>
  <si>
    <t>Lange, Johannes Christian</t>
  </si>
  <si>
    <t>Eidergrændsen, eller Casinomændenes Færd</t>
  </si>
  <si>
    <t>Dramatiseret Fremstilling</t>
  </si>
  <si>
    <t>afdeling</t>
  </si>
  <si>
    <t>URN:NBN:no-nb_digibok_2018010826027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</si>
</sst>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  <font>
      <b/>
      <sz val="12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2"/>
      <color theme="1"/>
      <name val="Aptos Narrow"/>
      <scheme val="minor"/>
    </font>
    <font>
      <sz val="12"/>
      <name val="Calibri"/>
      <family val="2"/>
    </font>
    <font>
      <sz val="11"/>
      <color rgb="FF242424"/>
      <name val="Aptos Narrow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 wrapText="1"/>
    </xf>
    <xf numFmtId="0" fontId="2" fillId="0" borderId="1" xfId="0" applyFont="1" applyBorder="1" applyAlignment="1">
      <alignment horizontal="right" vertical="top"/>
    </xf>
    <xf numFmtId="0" fontId="2" fillId="0" borderId="2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horizontal="center" vertical="top"/>
    </xf>
    <xf numFmtId="0" fontId="1" fillId="0" borderId="0" xfId="1"/>
    <xf numFmtId="0" fontId="0" fillId="3" borderId="0" xfId="0" applyFill="1"/>
    <xf numFmtId="0" fontId="0" fillId="3" borderId="0" xfId="0" applyFill="1" applyAlignment="1">
      <alignment horizontal="lef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 vertical="top"/>
    </xf>
    <xf numFmtId="0" fontId="6" fillId="3" borderId="0" xfId="0" applyFont="1" applyFill="1" applyAlignment="1">
      <alignment vertical="top"/>
    </xf>
    <xf numFmtId="0" fontId="7" fillId="3" borderId="0" xfId="0" applyFont="1" applyFill="1" applyAlignment="1">
      <alignment horizontal="left"/>
    </xf>
    <xf numFmtId="0" fontId="1" fillId="0" borderId="0" xfId="1" applyFill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3" borderId="1" xfId="0" applyFill="1" applyBorder="1"/>
    <xf numFmtId="0" fontId="8" fillId="0" borderId="0" xfId="0" applyFont="1" applyAlignment="1">
      <alignment horizontal="right"/>
    </xf>
    <xf numFmtId="0" fontId="0" fillId="4" borderId="0" xfId="0" applyFill="1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/>
    <xf numFmtId="0" fontId="2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rn.nb.no/URN:NBN:no-nb_digibok_2012041113010" TargetMode="External"/><Relationship Id="rId1" Type="http://schemas.openxmlformats.org/officeDocument/2006/relationships/hyperlink" Target="https://urn.nb.no/URN:NBN:no-nb_digibok_20191104480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7376-E6CE-4187-ABD0-36081566ED03}">
  <dimension ref="A1:AO65"/>
  <sheetViews>
    <sheetView tabSelected="1" topLeftCell="B1" workbookViewId="0">
      <selection activeCell="I14" sqref="I14"/>
    </sheetView>
  </sheetViews>
  <sheetFormatPr defaultRowHeight="15" x14ac:dyDescent="0.25"/>
  <cols>
    <col min="2" max="2" width="39.5703125" customWidth="1"/>
    <col min="3" max="3" width="24.28515625" customWidth="1"/>
    <col min="4" max="4" width="26.28515625" customWidth="1"/>
    <col min="9" max="9" width="14.7109375" customWidth="1"/>
  </cols>
  <sheetData>
    <row r="1" spans="1:41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30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5" t="s">
        <v>13</v>
      </c>
      <c r="P1" s="1" t="s">
        <v>14</v>
      </c>
      <c r="Q1" s="1" t="s">
        <v>15</v>
      </c>
      <c r="R1" s="6" t="s">
        <v>16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</row>
    <row r="2" spans="1:41" s="14" customFormat="1" ht="15.75" customHeight="1" x14ac:dyDescent="0.25">
      <c r="A2" s="8"/>
      <c r="B2" s="9" t="s">
        <v>17</v>
      </c>
      <c r="C2" s="10" t="s">
        <v>18</v>
      </c>
      <c r="D2" s="10" t="s">
        <v>19</v>
      </c>
      <c r="E2" s="10" t="s">
        <v>20</v>
      </c>
      <c r="F2" s="11">
        <v>5</v>
      </c>
      <c r="G2" s="10" t="s">
        <v>21</v>
      </c>
      <c r="H2" s="11">
        <v>1802</v>
      </c>
      <c r="I2" s="11" t="s">
        <v>22</v>
      </c>
      <c r="J2" s="12">
        <v>0</v>
      </c>
      <c r="K2" s="12">
        <v>0</v>
      </c>
      <c r="L2" s="12">
        <v>0</v>
      </c>
      <c r="M2" s="12">
        <v>0</v>
      </c>
      <c r="N2" s="13">
        <v>0</v>
      </c>
      <c r="O2" s="13">
        <f t="shared" ref="O2:O65" si="0">SUM(J2:N2)</f>
        <v>0</v>
      </c>
      <c r="P2" t="s">
        <v>23</v>
      </c>
      <c r="Q2" t="s">
        <v>24</v>
      </c>
      <c r="R2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s="10" customFormat="1" ht="15.75" customHeight="1" x14ac:dyDescent="0.25">
      <c r="A3" s="15"/>
      <c r="B3" s="16" t="s">
        <v>25</v>
      </c>
      <c r="C3" s="10" t="s">
        <v>26</v>
      </c>
      <c r="D3" s="10" t="s">
        <v>27</v>
      </c>
      <c r="E3" s="10" t="s">
        <v>28</v>
      </c>
      <c r="F3" s="17" t="s">
        <v>29</v>
      </c>
      <c r="G3" s="10" t="s">
        <v>29</v>
      </c>
      <c r="H3" s="11">
        <v>1809</v>
      </c>
      <c r="I3" s="11" t="s">
        <v>30</v>
      </c>
      <c r="J3" s="12">
        <v>4</v>
      </c>
      <c r="K3" s="12">
        <v>0</v>
      </c>
      <c r="L3" s="12">
        <v>0</v>
      </c>
      <c r="M3" s="12">
        <v>0</v>
      </c>
      <c r="N3" s="13">
        <v>0</v>
      </c>
      <c r="O3" s="13">
        <f t="shared" si="0"/>
        <v>4</v>
      </c>
      <c r="P3" t="s">
        <v>31</v>
      </c>
      <c r="Q3" t="s">
        <v>32</v>
      </c>
      <c r="R3" t="s">
        <v>33</v>
      </c>
    </row>
    <row r="4" spans="1:41" s="10" customFormat="1" ht="15.75" customHeight="1" x14ac:dyDescent="0.25">
      <c r="A4" s="1"/>
      <c r="B4" s="18" t="s">
        <v>34</v>
      </c>
      <c r="C4" t="s">
        <v>35</v>
      </c>
      <c r="D4" t="s">
        <v>36</v>
      </c>
      <c r="E4" t="s">
        <v>37</v>
      </c>
      <c r="F4" s="19">
        <v>3</v>
      </c>
      <c r="G4" t="s">
        <v>38</v>
      </c>
      <c r="H4" s="19">
        <v>1810</v>
      </c>
      <c r="I4" s="19" t="s">
        <v>30</v>
      </c>
      <c r="J4" s="12">
        <v>0</v>
      </c>
      <c r="K4" s="12">
        <v>0</v>
      </c>
      <c r="L4" s="12">
        <v>0</v>
      </c>
      <c r="M4" s="12">
        <v>0</v>
      </c>
      <c r="N4" s="13">
        <v>0</v>
      </c>
      <c r="O4" s="13">
        <f t="shared" si="0"/>
        <v>0</v>
      </c>
      <c r="P4" t="s">
        <v>39</v>
      </c>
      <c r="Q4" t="s">
        <v>40</v>
      </c>
      <c r="R4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ht="15.75" customHeight="1" x14ac:dyDescent="0.25">
      <c r="A5" s="15"/>
      <c r="B5" s="10" t="s">
        <v>245</v>
      </c>
      <c r="C5" s="10" t="s">
        <v>35</v>
      </c>
      <c r="D5" s="10" t="s">
        <v>41</v>
      </c>
      <c r="E5" s="10" t="s">
        <v>42</v>
      </c>
      <c r="F5" s="17" t="s">
        <v>29</v>
      </c>
      <c r="G5" s="10" t="s">
        <v>29</v>
      </c>
      <c r="H5" s="11">
        <v>1810</v>
      </c>
      <c r="I5" s="11" t="s">
        <v>30</v>
      </c>
      <c r="J5" s="12">
        <v>2</v>
      </c>
      <c r="K5" s="12">
        <v>1</v>
      </c>
      <c r="L5" s="12">
        <v>0</v>
      </c>
      <c r="M5" s="12">
        <v>0</v>
      </c>
      <c r="N5" s="13">
        <v>0</v>
      </c>
      <c r="O5" s="13">
        <f t="shared" si="0"/>
        <v>3</v>
      </c>
    </row>
    <row r="6" spans="1:41" s="10" customFormat="1" ht="15.75" customHeight="1" x14ac:dyDescent="0.25">
      <c r="A6" s="1">
        <v>830</v>
      </c>
      <c r="B6" t="s">
        <v>43</v>
      </c>
      <c r="C6" t="s">
        <v>44</v>
      </c>
      <c r="D6" t="s">
        <v>45</v>
      </c>
      <c r="E6" t="s">
        <v>46</v>
      </c>
      <c r="F6" s="19">
        <v>1</v>
      </c>
      <c r="G6" t="s">
        <v>38</v>
      </c>
      <c r="H6" s="19">
        <v>1816</v>
      </c>
      <c r="I6" s="19"/>
      <c r="J6" s="12">
        <v>0</v>
      </c>
      <c r="K6" s="12">
        <v>0</v>
      </c>
      <c r="L6" s="12">
        <v>0</v>
      </c>
      <c r="M6" s="12">
        <v>0</v>
      </c>
      <c r="N6" s="13">
        <v>0</v>
      </c>
      <c r="O6" s="13">
        <f t="shared" si="0"/>
        <v>0</v>
      </c>
      <c r="P6"/>
      <c r="Q6"/>
      <c r="R6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s="10" customFormat="1" ht="15.75" customHeight="1" x14ac:dyDescent="0.25">
      <c r="A7" s="1">
        <v>1589</v>
      </c>
      <c r="B7" t="s">
        <v>47</v>
      </c>
      <c r="C7" t="s">
        <v>48</v>
      </c>
      <c r="D7" t="s">
        <v>49</v>
      </c>
      <c r="E7" t="s">
        <v>50</v>
      </c>
      <c r="F7" s="19">
        <v>5</v>
      </c>
      <c r="G7" t="s">
        <v>38</v>
      </c>
      <c r="H7" s="19">
        <v>1817</v>
      </c>
      <c r="I7" s="19"/>
      <c r="J7" s="12">
        <v>0</v>
      </c>
      <c r="K7" s="12">
        <v>0</v>
      </c>
      <c r="L7" s="12">
        <v>0</v>
      </c>
      <c r="M7" s="12">
        <v>0</v>
      </c>
      <c r="N7" s="13">
        <v>0</v>
      </c>
      <c r="O7" s="13">
        <f t="shared" si="0"/>
        <v>0</v>
      </c>
      <c r="P7"/>
      <c r="Q7"/>
      <c r="R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ht="15.75" customHeight="1" x14ac:dyDescent="0.25">
      <c r="A8" s="1">
        <v>2591</v>
      </c>
      <c r="B8" t="s">
        <v>51</v>
      </c>
      <c r="C8" t="s">
        <v>52</v>
      </c>
      <c r="D8" t="s">
        <v>53</v>
      </c>
      <c r="E8" t="s">
        <v>20</v>
      </c>
      <c r="F8" s="19">
        <v>5</v>
      </c>
      <c r="G8" t="s">
        <v>54</v>
      </c>
      <c r="H8" s="19">
        <v>1817</v>
      </c>
      <c r="I8" s="19"/>
      <c r="J8" s="12">
        <v>0</v>
      </c>
      <c r="K8" s="12">
        <v>0</v>
      </c>
      <c r="L8" s="12">
        <v>0</v>
      </c>
      <c r="M8" s="12">
        <v>0</v>
      </c>
      <c r="N8" s="13">
        <v>0</v>
      </c>
      <c r="O8" s="13">
        <f t="shared" si="0"/>
        <v>0</v>
      </c>
      <c r="P8" t="s">
        <v>55</v>
      </c>
      <c r="Q8" t="s">
        <v>32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ht="15.75" customHeight="1" x14ac:dyDescent="0.25">
      <c r="A9" s="1">
        <v>123</v>
      </c>
      <c r="B9" t="s">
        <v>56</v>
      </c>
      <c r="C9" t="s">
        <v>57</v>
      </c>
      <c r="D9" t="s">
        <v>58</v>
      </c>
      <c r="E9" t="s">
        <v>28</v>
      </c>
      <c r="F9" s="19">
        <v>2</v>
      </c>
      <c r="G9" t="s">
        <v>38</v>
      </c>
      <c r="H9" s="19">
        <v>1819</v>
      </c>
      <c r="I9" s="19" t="s">
        <v>30</v>
      </c>
      <c r="J9" s="12">
        <v>2</v>
      </c>
      <c r="K9" s="12">
        <v>0</v>
      </c>
      <c r="L9" s="12">
        <v>0</v>
      </c>
      <c r="M9" s="12">
        <v>0</v>
      </c>
      <c r="N9" s="13">
        <v>0</v>
      </c>
      <c r="O9" s="13">
        <f t="shared" si="0"/>
        <v>2</v>
      </c>
      <c r="P9" t="s">
        <v>59</v>
      </c>
      <c r="Q9" t="s">
        <v>60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ht="15.75" customHeight="1" x14ac:dyDescent="0.25">
      <c r="A10" s="15"/>
      <c r="B10" s="10"/>
      <c r="C10" s="10" t="s">
        <v>61</v>
      </c>
      <c r="D10" s="10" t="s">
        <v>62</v>
      </c>
      <c r="E10" s="10" t="s">
        <v>63</v>
      </c>
      <c r="F10" s="11">
        <v>1</v>
      </c>
      <c r="G10" s="10" t="s">
        <v>38</v>
      </c>
      <c r="H10" s="11">
        <v>1820</v>
      </c>
      <c r="I10" s="11"/>
      <c r="J10" s="12">
        <v>0</v>
      </c>
      <c r="K10" s="12">
        <v>0</v>
      </c>
      <c r="L10" s="12">
        <v>0</v>
      </c>
      <c r="M10" s="12">
        <v>0</v>
      </c>
      <c r="N10" s="13">
        <v>0</v>
      </c>
      <c r="O10" s="13">
        <f t="shared" si="0"/>
        <v>0</v>
      </c>
      <c r="P10" t="s">
        <v>64</v>
      </c>
      <c r="Q10" t="s">
        <v>32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ht="15.75" customHeight="1" x14ac:dyDescent="0.25">
      <c r="A11" s="15"/>
      <c r="B11" s="10"/>
      <c r="C11" s="10" t="s">
        <v>65</v>
      </c>
      <c r="D11" s="10" t="s">
        <v>66</v>
      </c>
      <c r="E11" s="10" t="s">
        <v>67</v>
      </c>
      <c r="F11" s="17" t="s">
        <v>29</v>
      </c>
      <c r="G11" s="10" t="s">
        <v>29</v>
      </c>
      <c r="H11" s="11">
        <v>1822</v>
      </c>
      <c r="I11" s="11"/>
      <c r="J11" s="12">
        <v>1</v>
      </c>
      <c r="K11" s="12">
        <v>0</v>
      </c>
      <c r="L11" s="12">
        <v>0</v>
      </c>
      <c r="M11" s="12">
        <v>0</v>
      </c>
      <c r="N11" s="12">
        <v>0</v>
      </c>
      <c r="O11" s="13">
        <f t="shared" si="0"/>
        <v>1</v>
      </c>
      <c r="Q11" t="s">
        <v>32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ht="15.75" customHeight="1" x14ac:dyDescent="0.25">
      <c r="A12" s="1">
        <v>2875</v>
      </c>
      <c r="B12" t="s">
        <v>68</v>
      </c>
      <c r="C12" t="s">
        <v>69</v>
      </c>
      <c r="D12" t="s">
        <v>70</v>
      </c>
      <c r="E12" t="s">
        <v>71</v>
      </c>
      <c r="F12" s="19">
        <v>5</v>
      </c>
      <c r="G12" t="s">
        <v>21</v>
      </c>
      <c r="H12" s="19">
        <v>1823</v>
      </c>
      <c r="I12" s="19"/>
      <c r="J12" s="12">
        <v>0</v>
      </c>
      <c r="K12" s="12">
        <v>0</v>
      </c>
      <c r="L12" s="12">
        <v>0</v>
      </c>
      <c r="M12" s="12">
        <v>0</v>
      </c>
      <c r="N12" s="13">
        <v>0</v>
      </c>
      <c r="O12" s="13">
        <f t="shared" si="0"/>
        <v>0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ht="15.75" customHeight="1" x14ac:dyDescent="0.25">
      <c r="A13" s="1">
        <v>3646</v>
      </c>
      <c r="B13" t="s">
        <v>72</v>
      </c>
      <c r="C13" t="s">
        <v>73</v>
      </c>
      <c r="D13" t="s">
        <v>74</v>
      </c>
      <c r="E13" t="s">
        <v>29</v>
      </c>
      <c r="F13" s="20" t="s">
        <v>29</v>
      </c>
      <c r="G13" t="s">
        <v>29</v>
      </c>
      <c r="H13" s="19">
        <v>1824</v>
      </c>
      <c r="I13" s="19" t="s">
        <v>30</v>
      </c>
      <c r="J13" s="12">
        <v>0</v>
      </c>
      <c r="K13" s="12">
        <v>0</v>
      </c>
      <c r="L13" s="12">
        <v>0</v>
      </c>
      <c r="M13" s="12">
        <v>0</v>
      </c>
      <c r="N13" s="13">
        <v>0</v>
      </c>
      <c r="O13" s="13">
        <f t="shared" si="0"/>
        <v>0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s="10" customFormat="1" ht="15.75" customHeight="1" x14ac:dyDescent="0.25">
      <c r="A14" s="1">
        <v>3139</v>
      </c>
      <c r="B14" t="s">
        <v>75</v>
      </c>
      <c r="C14" t="s">
        <v>65</v>
      </c>
      <c r="D14" t="s">
        <v>76</v>
      </c>
      <c r="E14" t="s">
        <v>77</v>
      </c>
      <c r="F14" s="19">
        <v>2</v>
      </c>
      <c r="G14" t="s">
        <v>38</v>
      </c>
      <c r="H14" s="19">
        <v>1825</v>
      </c>
      <c r="I14" s="19" t="s">
        <v>30</v>
      </c>
      <c r="J14" s="12">
        <v>5</v>
      </c>
      <c r="K14" s="12">
        <v>70</v>
      </c>
      <c r="L14" s="12">
        <v>4</v>
      </c>
      <c r="M14" s="12">
        <v>33</v>
      </c>
      <c r="N14" s="13">
        <v>20</v>
      </c>
      <c r="O14" s="13">
        <f t="shared" si="0"/>
        <v>132</v>
      </c>
      <c r="P14" t="s">
        <v>78</v>
      </c>
      <c r="Q14"/>
      <c r="R14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ht="15.75" customHeight="1" x14ac:dyDescent="0.25">
      <c r="A15" s="1">
        <v>2161</v>
      </c>
      <c r="B15" t="s">
        <v>79</v>
      </c>
      <c r="C15" t="s">
        <v>57</v>
      </c>
      <c r="D15" t="s">
        <v>80</v>
      </c>
      <c r="E15" t="s">
        <v>81</v>
      </c>
      <c r="F15" s="19">
        <v>2</v>
      </c>
      <c r="G15" t="s">
        <v>21</v>
      </c>
      <c r="H15" s="19">
        <v>1825</v>
      </c>
      <c r="I15" s="19"/>
      <c r="J15" s="12">
        <v>0</v>
      </c>
      <c r="K15" s="12">
        <v>0</v>
      </c>
      <c r="L15" s="12">
        <v>0</v>
      </c>
      <c r="M15" s="12">
        <v>0</v>
      </c>
      <c r="N15" s="13">
        <v>0</v>
      </c>
      <c r="O15" s="13">
        <f t="shared" si="0"/>
        <v>0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ht="15.75" customHeight="1" x14ac:dyDescent="0.25">
      <c r="A16" s="1">
        <v>913</v>
      </c>
      <c r="B16" t="s">
        <v>82</v>
      </c>
      <c r="C16" t="s">
        <v>65</v>
      </c>
      <c r="D16" t="s">
        <v>83</v>
      </c>
      <c r="E16" t="s">
        <v>20</v>
      </c>
      <c r="F16" s="19">
        <v>1</v>
      </c>
      <c r="G16" t="s">
        <v>38</v>
      </c>
      <c r="H16" s="19">
        <v>1827</v>
      </c>
      <c r="I16" s="19"/>
      <c r="J16" s="12">
        <v>0</v>
      </c>
      <c r="K16" s="12">
        <v>2</v>
      </c>
      <c r="L16" s="12">
        <v>0</v>
      </c>
      <c r="M16" s="12">
        <v>0</v>
      </c>
      <c r="N16" s="12">
        <v>0</v>
      </c>
      <c r="O16" s="13">
        <f t="shared" si="0"/>
        <v>2</v>
      </c>
      <c r="P16" t="s">
        <v>84</v>
      </c>
      <c r="Q16" t="s">
        <v>40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s="10" customFormat="1" ht="15.75" customHeight="1" x14ac:dyDescent="0.25">
      <c r="A17" s="1">
        <v>870</v>
      </c>
      <c r="B17" t="s">
        <v>85</v>
      </c>
      <c r="C17" t="s">
        <v>65</v>
      </c>
      <c r="D17" t="s">
        <v>86</v>
      </c>
      <c r="E17" t="s">
        <v>28</v>
      </c>
      <c r="F17" s="20" t="s">
        <v>29</v>
      </c>
      <c r="G17" t="s">
        <v>29</v>
      </c>
      <c r="H17" s="19">
        <v>1827</v>
      </c>
      <c r="I17" s="19"/>
      <c r="J17" s="12">
        <v>0</v>
      </c>
      <c r="K17" s="12">
        <v>2</v>
      </c>
      <c r="L17" s="12">
        <v>0</v>
      </c>
      <c r="M17" s="12">
        <v>0</v>
      </c>
      <c r="N17" s="12">
        <v>0</v>
      </c>
      <c r="O17" s="13">
        <f t="shared" si="0"/>
        <v>2</v>
      </c>
      <c r="P17" t="s">
        <v>87</v>
      </c>
      <c r="Q17" t="s">
        <v>24</v>
      </c>
      <c r="R1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ht="15.75" customHeight="1" x14ac:dyDescent="0.25">
      <c r="A18" s="1">
        <v>2922</v>
      </c>
      <c r="B18" t="s">
        <v>88</v>
      </c>
      <c r="C18" t="s">
        <v>89</v>
      </c>
      <c r="D18" t="s">
        <v>90</v>
      </c>
      <c r="E18" t="s">
        <v>71</v>
      </c>
      <c r="F18" s="19">
        <v>3</v>
      </c>
      <c r="G18" t="s">
        <v>38</v>
      </c>
      <c r="H18" s="19">
        <v>1828</v>
      </c>
      <c r="I18" s="19"/>
      <c r="J18" s="12">
        <v>0</v>
      </c>
      <c r="K18" s="12">
        <v>0</v>
      </c>
      <c r="L18" s="12">
        <v>0</v>
      </c>
      <c r="M18" s="12">
        <v>0</v>
      </c>
      <c r="N18" s="13">
        <v>0</v>
      </c>
      <c r="O18" s="13">
        <f t="shared" si="0"/>
        <v>0</v>
      </c>
      <c r="P18" t="s">
        <v>31</v>
      </c>
      <c r="Q18" t="s">
        <v>32</v>
      </c>
      <c r="R18" t="s">
        <v>91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ht="15.75" customHeight="1" x14ac:dyDescent="0.25">
      <c r="A19" s="1">
        <v>1831</v>
      </c>
      <c r="B19" t="s">
        <v>92</v>
      </c>
      <c r="C19" t="s">
        <v>89</v>
      </c>
      <c r="D19" t="s">
        <v>93</v>
      </c>
      <c r="E19" t="s">
        <v>94</v>
      </c>
      <c r="F19" s="20" t="s">
        <v>29</v>
      </c>
      <c r="G19" t="s">
        <v>29</v>
      </c>
      <c r="H19" s="19">
        <v>1828</v>
      </c>
      <c r="I19" s="19"/>
      <c r="J19" s="12">
        <v>0</v>
      </c>
      <c r="K19" s="12">
        <v>0</v>
      </c>
      <c r="L19" s="12">
        <v>0</v>
      </c>
      <c r="M19" s="12">
        <v>0</v>
      </c>
      <c r="N19" s="13">
        <v>0</v>
      </c>
      <c r="O19" s="13">
        <f t="shared" si="0"/>
        <v>0</v>
      </c>
      <c r="P19" s="19"/>
      <c r="R19" t="s">
        <v>24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ht="15.75" customHeight="1" x14ac:dyDescent="0.25">
      <c r="A20" s="1">
        <v>2274</v>
      </c>
      <c r="B20" t="s">
        <v>95</v>
      </c>
      <c r="C20" t="s">
        <v>96</v>
      </c>
      <c r="D20" t="s">
        <v>97</v>
      </c>
      <c r="E20" t="s">
        <v>71</v>
      </c>
      <c r="F20" s="19">
        <v>4</v>
      </c>
      <c r="G20" t="s">
        <v>38</v>
      </c>
      <c r="H20" s="19">
        <v>1829</v>
      </c>
      <c r="I20" s="19"/>
      <c r="J20" s="12">
        <v>0</v>
      </c>
      <c r="K20" s="12">
        <v>0</v>
      </c>
      <c r="L20" s="12">
        <v>0</v>
      </c>
      <c r="M20" s="12">
        <v>0</v>
      </c>
      <c r="N20" s="13">
        <v>0</v>
      </c>
      <c r="O20" s="13">
        <f t="shared" si="0"/>
        <v>0</v>
      </c>
      <c r="P20" t="s">
        <v>98</v>
      </c>
      <c r="Q20" t="s">
        <v>40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ht="15.75" customHeight="1" x14ac:dyDescent="0.25">
      <c r="A21" s="21"/>
      <c r="B21" s="10"/>
      <c r="C21" s="10" t="s">
        <v>65</v>
      </c>
      <c r="D21" s="10" t="s">
        <v>99</v>
      </c>
      <c r="E21" s="10" t="s">
        <v>77</v>
      </c>
      <c r="F21" s="17" t="s">
        <v>29</v>
      </c>
      <c r="G21" s="10" t="s">
        <v>29</v>
      </c>
      <c r="H21" s="11">
        <v>1829</v>
      </c>
      <c r="I21" s="11"/>
      <c r="J21" s="12">
        <v>1</v>
      </c>
      <c r="K21" s="12">
        <v>0</v>
      </c>
      <c r="L21" s="12">
        <v>0</v>
      </c>
      <c r="M21" s="12">
        <v>0</v>
      </c>
      <c r="N21" s="12">
        <v>0</v>
      </c>
      <c r="O21" s="13">
        <f t="shared" si="0"/>
        <v>1</v>
      </c>
      <c r="P21" t="s">
        <v>100</v>
      </c>
      <c r="Q21" t="s">
        <v>40</v>
      </c>
    </row>
    <row r="22" spans="1:41" s="10" customFormat="1" ht="15.75" customHeight="1" x14ac:dyDescent="0.25">
      <c r="A22" s="1">
        <v>4252</v>
      </c>
      <c r="B22" t="s">
        <v>101</v>
      </c>
      <c r="C22" t="s">
        <v>89</v>
      </c>
      <c r="D22" t="s">
        <v>102</v>
      </c>
      <c r="E22" t="s">
        <v>29</v>
      </c>
      <c r="F22" s="20" t="s">
        <v>29</v>
      </c>
      <c r="G22" t="s">
        <v>29</v>
      </c>
      <c r="H22" s="19">
        <v>1829</v>
      </c>
      <c r="I22" s="19"/>
      <c r="J22" s="12">
        <v>0</v>
      </c>
      <c r="K22" s="12">
        <v>0</v>
      </c>
      <c r="L22" s="12">
        <v>0</v>
      </c>
      <c r="M22" s="12">
        <v>0</v>
      </c>
      <c r="N22" s="13">
        <v>0</v>
      </c>
      <c r="O22" s="13">
        <f t="shared" si="0"/>
        <v>0</v>
      </c>
      <c r="P22" t="s">
        <v>103</v>
      </c>
      <c r="Q22"/>
      <c r="R22"/>
    </row>
    <row r="23" spans="1:41" ht="15.75" customHeight="1" x14ac:dyDescent="0.25">
      <c r="A23" s="1">
        <v>4147</v>
      </c>
      <c r="B23" t="s">
        <v>104</v>
      </c>
      <c r="C23" t="s">
        <v>105</v>
      </c>
      <c r="D23" t="s">
        <v>106</v>
      </c>
      <c r="E23" t="s">
        <v>107</v>
      </c>
      <c r="F23" s="19">
        <v>2</v>
      </c>
      <c r="G23" t="s">
        <v>38</v>
      </c>
      <c r="H23" s="19">
        <v>1830</v>
      </c>
      <c r="I23" s="19"/>
      <c r="J23" s="12">
        <v>0</v>
      </c>
      <c r="K23" s="12">
        <v>0</v>
      </c>
      <c r="L23" s="12">
        <v>0</v>
      </c>
      <c r="M23" s="12">
        <v>0</v>
      </c>
      <c r="N23" s="13">
        <v>0</v>
      </c>
      <c r="O23" s="13">
        <f t="shared" si="0"/>
        <v>0</v>
      </c>
      <c r="P23" t="s">
        <v>108</v>
      </c>
    </row>
    <row r="24" spans="1:41" ht="15.75" customHeight="1" x14ac:dyDescent="0.25">
      <c r="A24" s="1">
        <v>4217</v>
      </c>
      <c r="B24" t="s">
        <v>109</v>
      </c>
      <c r="C24" t="s">
        <v>65</v>
      </c>
      <c r="D24" t="s">
        <v>110</v>
      </c>
      <c r="E24" t="s">
        <v>111</v>
      </c>
      <c r="F24" s="19">
        <v>3</v>
      </c>
      <c r="G24" t="s">
        <v>38</v>
      </c>
      <c r="H24" s="19">
        <v>1830</v>
      </c>
      <c r="I24" s="19"/>
      <c r="J24" s="13">
        <v>0</v>
      </c>
      <c r="K24" s="13">
        <v>8</v>
      </c>
      <c r="L24" s="22">
        <v>0</v>
      </c>
      <c r="M24" s="13">
        <v>0</v>
      </c>
      <c r="N24" s="12">
        <v>0</v>
      </c>
      <c r="O24" s="13">
        <f t="shared" si="0"/>
        <v>8</v>
      </c>
      <c r="P24" t="s">
        <v>112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s="23" customFormat="1" ht="15.75" customHeight="1" x14ac:dyDescent="0.25">
      <c r="A25" s="1">
        <v>2745</v>
      </c>
      <c r="B25" t="s">
        <v>113</v>
      </c>
      <c r="C25" t="s">
        <v>89</v>
      </c>
      <c r="D25" t="s">
        <v>114</v>
      </c>
      <c r="E25" t="s">
        <v>107</v>
      </c>
      <c r="F25" s="20" t="s">
        <v>29</v>
      </c>
      <c r="G25" t="s">
        <v>29</v>
      </c>
      <c r="H25" s="19">
        <v>1830</v>
      </c>
      <c r="I25" s="19"/>
      <c r="J25" s="12">
        <v>0</v>
      </c>
      <c r="K25" s="12">
        <v>0</v>
      </c>
      <c r="L25" s="12">
        <v>0</v>
      </c>
      <c r="M25" s="12">
        <v>0</v>
      </c>
      <c r="N25" s="13">
        <v>0</v>
      </c>
      <c r="O25" s="13">
        <f t="shared" si="0"/>
        <v>0</v>
      </c>
      <c r="P25"/>
      <c r="Q25"/>
      <c r="R25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ht="15.75" customHeight="1" x14ac:dyDescent="0.25">
      <c r="A26" s="1">
        <v>3122</v>
      </c>
      <c r="B26" t="s">
        <v>115</v>
      </c>
      <c r="C26" t="s">
        <v>89</v>
      </c>
      <c r="D26" t="s">
        <v>116</v>
      </c>
      <c r="E26" t="s">
        <v>20</v>
      </c>
      <c r="F26" s="19">
        <v>3</v>
      </c>
      <c r="G26" t="s">
        <v>38</v>
      </c>
      <c r="H26" s="19">
        <v>1831</v>
      </c>
      <c r="I26" s="19"/>
      <c r="J26" s="12">
        <v>0</v>
      </c>
      <c r="K26" s="12">
        <v>0</v>
      </c>
      <c r="L26" s="12">
        <v>0</v>
      </c>
      <c r="M26" s="12">
        <v>0</v>
      </c>
      <c r="N26" s="13">
        <v>0</v>
      </c>
      <c r="O26" s="13">
        <f t="shared" si="0"/>
        <v>0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ht="15.75" customHeight="1" x14ac:dyDescent="0.25">
      <c r="A27" s="1">
        <v>1020</v>
      </c>
      <c r="B27" t="s">
        <v>117</v>
      </c>
      <c r="C27" t="s">
        <v>48</v>
      </c>
      <c r="D27" t="s">
        <v>118</v>
      </c>
      <c r="E27" t="s">
        <v>77</v>
      </c>
      <c r="F27" s="19">
        <v>5</v>
      </c>
      <c r="G27" t="s">
        <v>38</v>
      </c>
      <c r="H27" s="19">
        <v>1832</v>
      </c>
      <c r="I27" s="19"/>
      <c r="J27" s="12">
        <v>6</v>
      </c>
      <c r="K27" s="12">
        <v>1</v>
      </c>
      <c r="L27" s="12">
        <v>0</v>
      </c>
      <c r="M27" s="12">
        <v>0</v>
      </c>
      <c r="N27" s="13">
        <v>0</v>
      </c>
      <c r="O27" s="13">
        <f t="shared" si="0"/>
        <v>7</v>
      </c>
      <c r="P27" t="s">
        <v>119</v>
      </c>
      <c r="Q27" t="s">
        <v>60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ht="15.75" customHeight="1" x14ac:dyDescent="0.25">
      <c r="A28" s="1">
        <v>3572</v>
      </c>
      <c r="B28" t="s">
        <v>120</v>
      </c>
      <c r="C28" t="s">
        <v>89</v>
      </c>
      <c r="D28" t="s">
        <v>121</v>
      </c>
      <c r="E28" t="s">
        <v>50</v>
      </c>
      <c r="F28" s="19">
        <v>3</v>
      </c>
      <c r="G28" t="s">
        <v>38</v>
      </c>
      <c r="H28" s="19">
        <v>1835</v>
      </c>
      <c r="I28" s="19"/>
      <c r="J28" s="12">
        <v>0</v>
      </c>
      <c r="K28" s="12">
        <v>0</v>
      </c>
      <c r="L28" s="12">
        <v>0</v>
      </c>
      <c r="M28" s="12">
        <v>0</v>
      </c>
      <c r="N28" s="13">
        <v>0</v>
      </c>
      <c r="O28" s="13">
        <f t="shared" si="0"/>
        <v>0</v>
      </c>
      <c r="P28" t="s">
        <v>122</v>
      </c>
      <c r="Q28" t="s">
        <v>123</v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ht="15.75" customHeight="1" x14ac:dyDescent="0.25">
      <c r="A29" s="1">
        <v>4390</v>
      </c>
      <c r="B29" t="s">
        <v>124</v>
      </c>
      <c r="C29" t="s">
        <v>89</v>
      </c>
      <c r="D29" t="s">
        <v>125</v>
      </c>
      <c r="E29" t="s">
        <v>71</v>
      </c>
      <c r="F29" s="19">
        <v>4</v>
      </c>
      <c r="G29" t="s">
        <v>38</v>
      </c>
      <c r="H29" s="19">
        <v>1835</v>
      </c>
      <c r="I29" s="19"/>
      <c r="J29" s="12">
        <v>0</v>
      </c>
      <c r="K29" s="12">
        <v>0</v>
      </c>
      <c r="L29" s="12">
        <v>0</v>
      </c>
      <c r="M29" s="12">
        <v>0</v>
      </c>
      <c r="N29" s="13">
        <v>0</v>
      </c>
      <c r="O29" s="13">
        <f t="shared" si="0"/>
        <v>0</v>
      </c>
      <c r="P29" t="s">
        <v>84</v>
      </c>
      <c r="Q29" t="s">
        <v>40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ht="15.75" customHeight="1" x14ac:dyDescent="0.25">
      <c r="A30" s="1">
        <v>260</v>
      </c>
      <c r="B30" t="s">
        <v>126</v>
      </c>
      <c r="C30" t="s">
        <v>89</v>
      </c>
      <c r="D30" t="s">
        <v>127</v>
      </c>
      <c r="E30" t="s">
        <v>107</v>
      </c>
      <c r="F30" s="20" t="s">
        <v>29</v>
      </c>
      <c r="G30" t="s">
        <v>29</v>
      </c>
      <c r="H30" s="19">
        <v>1835</v>
      </c>
      <c r="I30" s="19"/>
      <c r="J30" s="12">
        <v>0</v>
      </c>
      <c r="K30" s="12">
        <v>0</v>
      </c>
      <c r="L30" s="12">
        <v>0</v>
      </c>
      <c r="M30" s="12">
        <v>0</v>
      </c>
      <c r="N30" s="13">
        <v>0</v>
      </c>
      <c r="O30" s="13">
        <f t="shared" si="0"/>
        <v>0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 ht="15.75" customHeight="1" x14ac:dyDescent="0.25">
      <c r="A31" s="1">
        <v>1952</v>
      </c>
      <c r="B31" t="s">
        <v>128</v>
      </c>
      <c r="C31" t="s">
        <v>89</v>
      </c>
      <c r="D31" t="s">
        <v>129</v>
      </c>
      <c r="E31" t="s">
        <v>130</v>
      </c>
      <c r="F31" s="20" t="s">
        <v>29</v>
      </c>
      <c r="G31" t="s">
        <v>29</v>
      </c>
      <c r="H31" s="19">
        <v>1835</v>
      </c>
      <c r="I31" s="19"/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3">
        <f t="shared" si="0"/>
        <v>0</v>
      </c>
      <c r="P31" t="s">
        <v>31</v>
      </c>
      <c r="Q31" t="s">
        <v>32</v>
      </c>
    </row>
    <row r="32" spans="1:41" ht="15.75" customHeight="1" x14ac:dyDescent="0.25">
      <c r="A32" s="24">
        <v>2422</v>
      </c>
      <c r="B32" s="25" t="s">
        <v>131</v>
      </c>
      <c r="C32" s="25" t="s">
        <v>89</v>
      </c>
      <c r="D32" s="25" t="s">
        <v>132</v>
      </c>
      <c r="E32" s="25" t="s">
        <v>133</v>
      </c>
      <c r="F32" s="25">
        <v>2</v>
      </c>
      <c r="G32" s="25" t="s">
        <v>38</v>
      </c>
      <c r="H32" s="25">
        <v>1837</v>
      </c>
      <c r="I32" s="25"/>
      <c r="J32" s="26">
        <v>0</v>
      </c>
      <c r="K32" s="27">
        <v>3</v>
      </c>
      <c r="L32" s="27">
        <v>0</v>
      </c>
      <c r="M32" s="27">
        <v>0</v>
      </c>
      <c r="N32" s="28">
        <v>0</v>
      </c>
      <c r="O32" s="28">
        <f t="shared" si="0"/>
        <v>3</v>
      </c>
      <c r="P32" s="25" t="s">
        <v>134</v>
      </c>
      <c r="Q32" s="25" t="s">
        <v>40</v>
      </c>
      <c r="R32" s="25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41" ht="15.75" customHeight="1" x14ac:dyDescent="0.25">
      <c r="A33" s="1">
        <v>2613</v>
      </c>
      <c r="B33" t="s">
        <v>135</v>
      </c>
      <c r="C33" t="s">
        <v>136</v>
      </c>
      <c r="D33" t="s">
        <v>137</v>
      </c>
      <c r="E33" t="s">
        <v>50</v>
      </c>
      <c r="F33" s="19">
        <v>3</v>
      </c>
      <c r="G33" t="s">
        <v>38</v>
      </c>
      <c r="H33" s="19">
        <v>1837</v>
      </c>
      <c r="I33" s="19"/>
      <c r="J33" s="12">
        <v>0</v>
      </c>
      <c r="K33" s="12">
        <v>4</v>
      </c>
      <c r="L33" s="12">
        <v>0</v>
      </c>
      <c r="M33" s="12">
        <v>0</v>
      </c>
      <c r="N33" s="13">
        <v>0</v>
      </c>
      <c r="O33" s="13">
        <f t="shared" si="0"/>
        <v>4</v>
      </c>
      <c r="P33" t="s">
        <v>138</v>
      </c>
      <c r="Q33" t="s">
        <v>139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ht="15.75" customHeight="1" x14ac:dyDescent="0.25">
      <c r="A34" s="1">
        <v>861</v>
      </c>
      <c r="B34" t="s">
        <v>140</v>
      </c>
      <c r="C34" t="s">
        <v>141</v>
      </c>
      <c r="D34" t="s">
        <v>142</v>
      </c>
      <c r="E34" t="s">
        <v>20</v>
      </c>
      <c r="F34" s="19">
        <v>4</v>
      </c>
      <c r="G34" t="s">
        <v>38</v>
      </c>
      <c r="H34" s="19">
        <v>1838</v>
      </c>
      <c r="I34" s="19"/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f t="shared" si="0"/>
        <v>0</v>
      </c>
      <c r="P34" t="s">
        <v>143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ht="15.75" customHeight="1" x14ac:dyDescent="0.25">
      <c r="A35" s="1">
        <v>3519</v>
      </c>
      <c r="B35" t="s">
        <v>144</v>
      </c>
      <c r="C35" t="s">
        <v>73</v>
      </c>
      <c r="D35" t="s">
        <v>145</v>
      </c>
      <c r="E35" t="s">
        <v>50</v>
      </c>
      <c r="F35" s="19">
        <v>5</v>
      </c>
      <c r="G35" t="s">
        <v>38</v>
      </c>
      <c r="H35" s="19">
        <v>1838</v>
      </c>
      <c r="I35" s="19"/>
      <c r="J35" s="12">
        <v>0</v>
      </c>
      <c r="K35" s="12">
        <v>0</v>
      </c>
      <c r="L35" s="12">
        <v>0</v>
      </c>
      <c r="M35" s="12">
        <v>0</v>
      </c>
      <c r="N35" s="13">
        <v>0</v>
      </c>
      <c r="O35" s="13">
        <f t="shared" si="0"/>
        <v>0</v>
      </c>
      <c r="Q35" t="s">
        <v>146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ht="15.75" customHeight="1" x14ac:dyDescent="0.25">
      <c r="A36" s="21"/>
      <c r="B36" s="10"/>
      <c r="C36" s="10" t="s">
        <v>147</v>
      </c>
      <c r="D36" s="10" t="s">
        <v>148</v>
      </c>
      <c r="E36" s="10" t="s">
        <v>107</v>
      </c>
      <c r="F36" s="11">
        <v>2</v>
      </c>
      <c r="G36" s="10" t="s">
        <v>149</v>
      </c>
      <c r="H36" s="11">
        <v>1839</v>
      </c>
      <c r="I36" s="11"/>
      <c r="J36" s="13">
        <v>0</v>
      </c>
      <c r="K36" s="13">
        <v>0</v>
      </c>
      <c r="L36" s="13">
        <v>0</v>
      </c>
      <c r="M36" s="13">
        <v>0</v>
      </c>
      <c r="N36" s="12">
        <v>0</v>
      </c>
      <c r="O36" s="13">
        <f t="shared" si="0"/>
        <v>0</v>
      </c>
      <c r="P36" t="s">
        <v>84</v>
      </c>
      <c r="Q36" t="s">
        <v>40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41" ht="15.75" customHeight="1" x14ac:dyDescent="0.25">
      <c r="A37" s="1">
        <v>459</v>
      </c>
      <c r="B37" t="s">
        <v>150</v>
      </c>
      <c r="C37" t="s">
        <v>89</v>
      </c>
      <c r="D37" t="s">
        <v>151</v>
      </c>
      <c r="E37" t="s">
        <v>107</v>
      </c>
      <c r="F37" s="19">
        <v>2</v>
      </c>
      <c r="G37" t="s">
        <v>38</v>
      </c>
      <c r="H37" s="19">
        <v>1839</v>
      </c>
      <c r="I37" s="19"/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f t="shared" si="0"/>
        <v>0</v>
      </c>
      <c r="P37" t="s">
        <v>152</v>
      </c>
      <c r="Q37" t="s">
        <v>60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ht="15.75" customHeight="1" x14ac:dyDescent="0.25">
      <c r="A38" s="1">
        <v>29</v>
      </c>
      <c r="B38" t="s">
        <v>153</v>
      </c>
      <c r="C38" t="s">
        <v>141</v>
      </c>
      <c r="D38" t="s">
        <v>154</v>
      </c>
      <c r="E38" t="s">
        <v>155</v>
      </c>
      <c r="F38" s="19">
        <v>3</v>
      </c>
      <c r="G38" t="s">
        <v>38</v>
      </c>
      <c r="H38" s="19">
        <v>1839</v>
      </c>
      <c r="I38" s="19"/>
      <c r="J38" s="13">
        <v>0</v>
      </c>
      <c r="K38" s="13">
        <v>3</v>
      </c>
      <c r="L38" s="13">
        <v>0</v>
      </c>
      <c r="M38" s="13">
        <v>0</v>
      </c>
      <c r="N38" s="13">
        <v>0</v>
      </c>
      <c r="O38" s="13">
        <f t="shared" si="0"/>
        <v>3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 ht="15.75" customHeight="1" x14ac:dyDescent="0.25">
      <c r="A39" s="1">
        <v>4336</v>
      </c>
      <c r="B39" t="s">
        <v>156</v>
      </c>
      <c r="C39" t="s">
        <v>147</v>
      </c>
      <c r="D39" t="s">
        <v>157</v>
      </c>
      <c r="E39" t="s">
        <v>158</v>
      </c>
      <c r="F39" s="19">
        <v>4</v>
      </c>
      <c r="G39" t="s">
        <v>38</v>
      </c>
      <c r="H39" s="19">
        <v>1839</v>
      </c>
      <c r="I39" s="19"/>
      <c r="J39" s="13">
        <v>0</v>
      </c>
      <c r="K39" s="13">
        <v>0</v>
      </c>
      <c r="L39" s="13">
        <v>0</v>
      </c>
      <c r="M39" s="13">
        <v>0</v>
      </c>
      <c r="N39" s="12">
        <v>0</v>
      </c>
      <c r="O39" s="13">
        <f t="shared" si="0"/>
        <v>0</v>
      </c>
      <c r="P39" t="s">
        <v>159</v>
      </c>
      <c r="Q39" t="s">
        <v>24</v>
      </c>
    </row>
    <row r="40" spans="1:41" s="7" customFormat="1" ht="15.75" customHeight="1" x14ac:dyDescent="0.25">
      <c r="A40" s="1">
        <v>11734</v>
      </c>
      <c r="B40" t="s">
        <v>160</v>
      </c>
      <c r="C40" t="s">
        <v>89</v>
      </c>
      <c r="D40" t="s">
        <v>161</v>
      </c>
      <c r="E40" t="s">
        <v>162</v>
      </c>
      <c r="F40" s="20" t="s">
        <v>29</v>
      </c>
      <c r="G40" t="s">
        <v>29</v>
      </c>
      <c r="H40" s="19">
        <v>1839</v>
      </c>
      <c r="I40" s="19"/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f t="shared" si="0"/>
        <v>0</v>
      </c>
      <c r="P40" t="s">
        <v>163</v>
      </c>
      <c r="Q40" t="s">
        <v>139</v>
      </c>
      <c r="R40"/>
    </row>
    <row r="41" spans="1:41" ht="15.75" customHeight="1" x14ac:dyDescent="0.25">
      <c r="A41" s="15"/>
      <c r="B41" s="10"/>
      <c r="C41" s="10" t="s">
        <v>136</v>
      </c>
      <c r="D41" s="10" t="s">
        <v>164</v>
      </c>
      <c r="E41" s="10" t="s">
        <v>165</v>
      </c>
      <c r="F41" s="11">
        <v>1</v>
      </c>
      <c r="G41" s="10" t="s">
        <v>38</v>
      </c>
      <c r="H41" s="11">
        <v>1840</v>
      </c>
      <c r="I41" s="11"/>
      <c r="J41" s="13">
        <v>0</v>
      </c>
      <c r="K41" s="13">
        <v>2</v>
      </c>
      <c r="L41" s="13">
        <v>7</v>
      </c>
      <c r="M41" s="13">
        <v>0</v>
      </c>
      <c r="N41" s="13">
        <v>0</v>
      </c>
      <c r="O41" s="13">
        <f t="shared" si="0"/>
        <v>9</v>
      </c>
      <c r="P41" t="s">
        <v>166</v>
      </c>
      <c r="Q41" t="s">
        <v>60</v>
      </c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41" s="7" customFormat="1" ht="15.75" customHeight="1" x14ac:dyDescent="0.25">
      <c r="A42" s="1">
        <v>4407</v>
      </c>
      <c r="B42" t="s">
        <v>167</v>
      </c>
      <c r="C42" t="s">
        <v>168</v>
      </c>
      <c r="D42" t="s">
        <v>169</v>
      </c>
      <c r="E42" t="s">
        <v>170</v>
      </c>
      <c r="F42" s="19">
        <v>5</v>
      </c>
      <c r="G42" t="s">
        <v>38</v>
      </c>
      <c r="H42" s="19">
        <v>1840</v>
      </c>
      <c r="I42" s="19"/>
      <c r="J42" s="13">
        <v>0</v>
      </c>
      <c r="K42" s="13">
        <v>3</v>
      </c>
      <c r="L42" s="13">
        <v>0</v>
      </c>
      <c r="M42" s="13">
        <v>0</v>
      </c>
      <c r="N42" s="13">
        <v>0</v>
      </c>
      <c r="O42" s="13">
        <f t="shared" si="0"/>
        <v>3</v>
      </c>
      <c r="P42" t="s">
        <v>171</v>
      </c>
      <c r="Q42"/>
      <c r="R42"/>
    </row>
    <row r="43" spans="1:41" ht="15.75" customHeight="1" x14ac:dyDescent="0.25">
      <c r="A43" s="1">
        <v>3809</v>
      </c>
      <c r="B43" t="s">
        <v>172</v>
      </c>
      <c r="C43" t="s">
        <v>89</v>
      </c>
      <c r="D43" t="s">
        <v>173</v>
      </c>
      <c r="E43" t="s">
        <v>174</v>
      </c>
      <c r="F43" s="20" t="s">
        <v>29</v>
      </c>
      <c r="G43" t="s">
        <v>29</v>
      </c>
      <c r="H43" s="19">
        <v>1840</v>
      </c>
      <c r="I43" s="19"/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f t="shared" si="0"/>
        <v>0</v>
      </c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 ht="15.75" customHeight="1" x14ac:dyDescent="0.25">
      <c r="A44" s="29"/>
      <c r="B44" t="s">
        <v>175</v>
      </c>
      <c r="C44" t="s">
        <v>141</v>
      </c>
      <c r="D44" t="s">
        <v>176</v>
      </c>
      <c r="E44" t="s">
        <v>46</v>
      </c>
      <c r="F44" s="19">
        <v>1</v>
      </c>
      <c r="G44" t="s">
        <v>38</v>
      </c>
      <c r="H44" s="19">
        <v>1841</v>
      </c>
      <c r="I44" s="19"/>
      <c r="J44" s="13">
        <v>0</v>
      </c>
      <c r="K44" s="13">
        <v>2</v>
      </c>
      <c r="L44" s="13">
        <v>0</v>
      </c>
      <c r="M44" s="13">
        <v>0</v>
      </c>
      <c r="N44" s="13">
        <v>0</v>
      </c>
      <c r="O44" s="13">
        <f t="shared" si="0"/>
        <v>2</v>
      </c>
    </row>
    <row r="45" spans="1:41" ht="15.75" customHeight="1" x14ac:dyDescent="0.25">
      <c r="A45" s="15"/>
      <c r="B45" s="10"/>
      <c r="C45" s="10" t="s">
        <v>177</v>
      </c>
      <c r="D45" s="10" t="s">
        <v>178</v>
      </c>
      <c r="E45" s="10" t="s">
        <v>29</v>
      </c>
      <c r="F45" s="11">
        <v>3</v>
      </c>
      <c r="G45" s="10" t="s">
        <v>38</v>
      </c>
      <c r="H45" s="11">
        <v>1843</v>
      </c>
      <c r="I45" s="11"/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f t="shared" si="0"/>
        <v>0</v>
      </c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1:41" s="23" customFormat="1" ht="15.75" customHeight="1" x14ac:dyDescent="0.25">
      <c r="A46" s="1">
        <v>4074</v>
      </c>
      <c r="B46" t="s">
        <v>179</v>
      </c>
      <c r="C46" t="s">
        <v>89</v>
      </c>
      <c r="D46" t="s">
        <v>180</v>
      </c>
      <c r="E46" t="s">
        <v>50</v>
      </c>
      <c r="F46" s="19">
        <v>5</v>
      </c>
      <c r="G46" t="s">
        <v>38</v>
      </c>
      <c r="H46" s="19">
        <v>1843</v>
      </c>
      <c r="I46" s="19"/>
      <c r="J46" s="13">
        <v>0</v>
      </c>
      <c r="K46" s="13">
        <v>4</v>
      </c>
      <c r="L46" s="13">
        <v>0</v>
      </c>
      <c r="M46" s="13">
        <v>0</v>
      </c>
      <c r="N46" s="13">
        <v>0</v>
      </c>
      <c r="O46" s="13">
        <f t="shared" si="0"/>
        <v>4</v>
      </c>
      <c r="P46" t="s">
        <v>181</v>
      </c>
      <c r="Q46" t="s">
        <v>182</v>
      </c>
      <c r="R46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 s="23" customFormat="1" ht="15.75" customHeight="1" x14ac:dyDescent="0.25">
      <c r="A47" s="15"/>
      <c r="B47" s="10"/>
      <c r="C47" s="10" t="s">
        <v>141</v>
      </c>
      <c r="D47" s="10" t="s">
        <v>183</v>
      </c>
      <c r="E47" s="10" t="s">
        <v>184</v>
      </c>
      <c r="F47" s="11">
        <v>1</v>
      </c>
      <c r="G47" s="10" t="s">
        <v>38</v>
      </c>
      <c r="H47" s="11">
        <v>1844</v>
      </c>
      <c r="I47" s="11"/>
      <c r="J47" s="13">
        <v>0</v>
      </c>
      <c r="K47" s="13">
        <v>24</v>
      </c>
      <c r="L47" s="13">
        <v>19</v>
      </c>
      <c r="M47" s="13">
        <v>20</v>
      </c>
      <c r="N47" s="13">
        <v>3</v>
      </c>
      <c r="O47" s="13">
        <f t="shared" si="0"/>
        <v>66</v>
      </c>
      <c r="P47" t="s">
        <v>185</v>
      </c>
      <c r="Q47"/>
      <c r="R4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 s="7" customFormat="1" ht="15.75" customHeight="1" x14ac:dyDescent="0.25">
      <c r="A48" s="1">
        <v>4091</v>
      </c>
      <c r="B48" t="s">
        <v>186</v>
      </c>
      <c r="C48" t="s">
        <v>187</v>
      </c>
      <c r="D48" t="s">
        <v>188</v>
      </c>
      <c r="E48" t="s">
        <v>189</v>
      </c>
      <c r="F48" s="19">
        <v>3</v>
      </c>
      <c r="G48" t="s">
        <v>38</v>
      </c>
      <c r="H48" s="19">
        <v>1844</v>
      </c>
      <c r="I48" s="19"/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f t="shared" si="0"/>
        <v>0</v>
      </c>
      <c r="P48" t="s">
        <v>190</v>
      </c>
      <c r="Q48" t="s">
        <v>32</v>
      </c>
      <c r="R48"/>
    </row>
    <row r="49" spans="1:41" s="10" customFormat="1" ht="15.75" customHeight="1" x14ac:dyDescent="0.25">
      <c r="A49" s="1">
        <v>649</v>
      </c>
      <c r="B49" t="s">
        <v>191</v>
      </c>
      <c r="C49" t="s">
        <v>192</v>
      </c>
      <c r="D49" t="s">
        <v>193</v>
      </c>
      <c r="E49" t="s">
        <v>170</v>
      </c>
      <c r="F49" s="19">
        <v>5</v>
      </c>
      <c r="G49" t="s">
        <v>38</v>
      </c>
      <c r="H49" s="19">
        <v>1844</v>
      </c>
      <c r="I49" s="19"/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f t="shared" si="0"/>
        <v>0</v>
      </c>
      <c r="P49"/>
      <c r="Q49"/>
      <c r="R49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spans="1:41" ht="15.75" customHeight="1" x14ac:dyDescent="0.25">
      <c r="A50" s="21"/>
      <c r="B50" s="10"/>
      <c r="C50" s="10" t="s">
        <v>194</v>
      </c>
      <c r="D50" s="10" t="s">
        <v>195</v>
      </c>
      <c r="E50" s="10" t="s">
        <v>20</v>
      </c>
      <c r="F50" s="11">
        <v>4</v>
      </c>
      <c r="G50" s="10" t="s">
        <v>38</v>
      </c>
      <c r="H50" s="11">
        <v>1845</v>
      </c>
      <c r="I50" s="11"/>
      <c r="J50" s="13">
        <v>0</v>
      </c>
      <c r="K50" s="13">
        <v>0</v>
      </c>
      <c r="L50" s="13">
        <v>2</v>
      </c>
      <c r="M50" s="13">
        <v>7</v>
      </c>
      <c r="N50" s="13">
        <v>0</v>
      </c>
      <c r="O50" s="13">
        <f t="shared" si="0"/>
        <v>9</v>
      </c>
      <c r="P50" t="s">
        <v>196</v>
      </c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 ht="15.75" customHeight="1" x14ac:dyDescent="0.25">
      <c r="A51" s="1">
        <v>805</v>
      </c>
      <c r="B51" t="s">
        <v>197</v>
      </c>
      <c r="C51" t="s">
        <v>198</v>
      </c>
      <c r="D51" t="s">
        <v>199</v>
      </c>
      <c r="E51" t="s">
        <v>29</v>
      </c>
      <c r="F51" s="19" t="s">
        <v>29</v>
      </c>
      <c r="G51" t="s">
        <v>29</v>
      </c>
      <c r="H51" s="19">
        <v>1845</v>
      </c>
      <c r="I51" s="19"/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f t="shared" si="0"/>
        <v>0</v>
      </c>
    </row>
    <row r="52" spans="1:41" s="23" customFormat="1" ht="15.75" customHeight="1" x14ac:dyDescent="0.25">
      <c r="A52" s="15"/>
      <c r="B52" s="10" t="s">
        <v>200</v>
      </c>
      <c r="C52" s="10" t="s">
        <v>201</v>
      </c>
      <c r="D52" s="10" t="s">
        <v>202</v>
      </c>
      <c r="E52" s="10" t="s">
        <v>50</v>
      </c>
      <c r="F52" s="11">
        <v>5</v>
      </c>
      <c r="G52" s="10" t="s">
        <v>38</v>
      </c>
      <c r="H52" s="11">
        <v>1846</v>
      </c>
      <c r="I52" s="11"/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f t="shared" si="0"/>
        <v>0</v>
      </c>
      <c r="P52" t="s">
        <v>84</v>
      </c>
      <c r="Q52" t="s">
        <v>40</v>
      </c>
      <c r="R52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  <row r="53" spans="1:41" ht="15.75" customHeight="1" x14ac:dyDescent="0.25">
      <c r="A53" s="1">
        <v>4045</v>
      </c>
      <c r="B53" t="s">
        <v>203</v>
      </c>
      <c r="C53" t="s">
        <v>141</v>
      </c>
      <c r="D53" t="s">
        <v>204</v>
      </c>
      <c r="E53" t="s">
        <v>155</v>
      </c>
      <c r="F53" s="19">
        <v>1</v>
      </c>
      <c r="G53" t="s">
        <v>38</v>
      </c>
      <c r="H53" s="19">
        <v>1847</v>
      </c>
      <c r="I53" s="19"/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f t="shared" si="0"/>
        <v>0</v>
      </c>
      <c r="P53" t="s">
        <v>205</v>
      </c>
      <c r="Q53" t="s">
        <v>206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</row>
    <row r="54" spans="1:41" ht="15.75" customHeight="1" x14ac:dyDescent="0.25">
      <c r="A54" s="1">
        <v>2825</v>
      </c>
      <c r="B54" t="s">
        <v>207</v>
      </c>
      <c r="C54" t="s">
        <v>208</v>
      </c>
      <c r="D54" t="s">
        <v>209</v>
      </c>
      <c r="E54" t="s">
        <v>155</v>
      </c>
      <c r="F54" s="19">
        <v>2</v>
      </c>
      <c r="G54" t="s">
        <v>38</v>
      </c>
      <c r="H54" s="19">
        <v>1847</v>
      </c>
      <c r="I54" s="19"/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f t="shared" si="0"/>
        <v>0</v>
      </c>
      <c r="P54" t="s">
        <v>84</v>
      </c>
      <c r="Q54" t="s">
        <v>60</v>
      </c>
    </row>
    <row r="55" spans="1:41" s="23" customFormat="1" ht="15.75" customHeight="1" x14ac:dyDescent="0.25">
      <c r="A55" s="1"/>
      <c r="B55" t="s">
        <v>203</v>
      </c>
      <c r="C55" t="s">
        <v>141</v>
      </c>
      <c r="D55" t="s">
        <v>210</v>
      </c>
      <c r="E55" t="s">
        <v>211</v>
      </c>
      <c r="F55" s="20" t="s">
        <v>29</v>
      </c>
      <c r="G55" t="s">
        <v>29</v>
      </c>
      <c r="H55" s="19">
        <v>1847</v>
      </c>
      <c r="I55" s="19"/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f t="shared" si="0"/>
        <v>0</v>
      </c>
      <c r="P55"/>
      <c r="Q55" t="s">
        <v>32</v>
      </c>
      <c r="R55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1:41" ht="15.75" customHeight="1" x14ac:dyDescent="0.25">
      <c r="A56" s="1">
        <v>3841</v>
      </c>
      <c r="B56" t="s">
        <v>212</v>
      </c>
      <c r="C56" t="s">
        <v>213</v>
      </c>
      <c r="D56" t="s">
        <v>214</v>
      </c>
      <c r="E56" t="s">
        <v>184</v>
      </c>
      <c r="F56" s="19">
        <v>1</v>
      </c>
      <c r="G56" t="s">
        <v>38</v>
      </c>
      <c r="H56" s="19">
        <v>1848</v>
      </c>
      <c r="I56" s="19"/>
      <c r="J56" s="13">
        <v>0</v>
      </c>
      <c r="K56" s="13">
        <v>11</v>
      </c>
      <c r="L56" s="13">
        <v>0</v>
      </c>
      <c r="M56" s="13">
        <v>0</v>
      </c>
      <c r="N56" s="13">
        <v>0</v>
      </c>
      <c r="O56" s="13">
        <f t="shared" si="0"/>
        <v>11</v>
      </c>
      <c r="P56" t="s">
        <v>84</v>
      </c>
      <c r="Q56" t="s">
        <v>40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spans="1:41" ht="15.75" customHeight="1" x14ac:dyDescent="0.25">
      <c r="A57" s="1">
        <v>4015</v>
      </c>
      <c r="B57" t="s">
        <v>215</v>
      </c>
      <c r="C57" t="s">
        <v>65</v>
      </c>
      <c r="D57" t="s">
        <v>216</v>
      </c>
      <c r="E57" t="s">
        <v>184</v>
      </c>
      <c r="F57" s="19">
        <v>2</v>
      </c>
      <c r="G57" t="s">
        <v>38</v>
      </c>
      <c r="H57" s="19">
        <v>1848</v>
      </c>
      <c r="I57" s="19"/>
      <c r="J57" s="13">
        <v>0</v>
      </c>
      <c r="K57" s="13">
        <v>0</v>
      </c>
      <c r="L57" s="13">
        <v>0</v>
      </c>
      <c r="M57" s="13">
        <v>6</v>
      </c>
      <c r="N57" s="12">
        <v>0</v>
      </c>
      <c r="O57" s="13">
        <f t="shared" si="0"/>
        <v>6</v>
      </c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spans="1:41" ht="15.75" customHeight="1" x14ac:dyDescent="0.25">
      <c r="A58" s="1">
        <v>3247</v>
      </c>
      <c r="B58" t="s">
        <v>217</v>
      </c>
      <c r="C58" t="s">
        <v>89</v>
      </c>
      <c r="D58" t="s">
        <v>218</v>
      </c>
      <c r="E58" t="s">
        <v>219</v>
      </c>
      <c r="F58" s="19">
        <v>3</v>
      </c>
      <c r="G58" t="s">
        <v>38</v>
      </c>
      <c r="H58" s="19">
        <v>1848</v>
      </c>
      <c r="I58" s="19"/>
      <c r="J58" s="13">
        <v>0</v>
      </c>
      <c r="K58" s="13">
        <v>0</v>
      </c>
      <c r="L58" s="13">
        <v>6</v>
      </c>
      <c r="M58" s="13">
        <v>3</v>
      </c>
      <c r="N58" s="13">
        <v>0</v>
      </c>
      <c r="O58" s="13">
        <f t="shared" si="0"/>
        <v>9</v>
      </c>
      <c r="R58" s="18"/>
    </row>
    <row r="59" spans="1:41" ht="15.75" customHeight="1" x14ac:dyDescent="0.25">
      <c r="A59" s="1">
        <v>1083</v>
      </c>
      <c r="B59" t="s">
        <v>220</v>
      </c>
      <c r="C59" t="s">
        <v>89</v>
      </c>
      <c r="D59" t="s">
        <v>221</v>
      </c>
      <c r="E59" t="s">
        <v>222</v>
      </c>
      <c r="F59" s="19">
        <v>3</v>
      </c>
      <c r="G59" t="s">
        <v>38</v>
      </c>
      <c r="H59" s="19">
        <v>1848</v>
      </c>
      <c r="I59" s="19"/>
      <c r="J59" s="13">
        <v>0</v>
      </c>
      <c r="K59" s="13">
        <v>2</v>
      </c>
      <c r="L59" s="13">
        <v>2</v>
      </c>
      <c r="M59" s="13">
        <v>0</v>
      </c>
      <c r="N59" s="13">
        <v>0</v>
      </c>
      <c r="O59" s="13">
        <f t="shared" si="0"/>
        <v>4</v>
      </c>
      <c r="P59" t="s">
        <v>223</v>
      </c>
      <c r="Q59" t="s">
        <v>60</v>
      </c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1:41" ht="15.75" customHeight="1" x14ac:dyDescent="0.25">
      <c r="A60" s="1">
        <v>1508</v>
      </c>
      <c r="B60" t="s">
        <v>224</v>
      </c>
      <c r="C60" t="s">
        <v>201</v>
      </c>
      <c r="D60" t="s">
        <v>225</v>
      </c>
      <c r="E60" t="s">
        <v>50</v>
      </c>
      <c r="F60" s="19">
        <v>4</v>
      </c>
      <c r="G60" t="s">
        <v>38</v>
      </c>
      <c r="H60" s="19">
        <v>1848</v>
      </c>
      <c r="I60" s="19"/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f t="shared" si="0"/>
        <v>0</v>
      </c>
    </row>
    <row r="61" spans="1:41" ht="15.75" customHeight="1" x14ac:dyDescent="0.25">
      <c r="A61" s="1">
        <v>4035</v>
      </c>
      <c r="B61" t="s">
        <v>226</v>
      </c>
      <c r="C61" t="s">
        <v>227</v>
      </c>
      <c r="D61" t="s">
        <v>228</v>
      </c>
      <c r="E61" t="s">
        <v>184</v>
      </c>
      <c r="F61" s="19">
        <v>1</v>
      </c>
      <c r="G61" t="s">
        <v>38</v>
      </c>
      <c r="H61" s="19">
        <v>1849</v>
      </c>
      <c r="I61" s="19"/>
      <c r="J61" s="13">
        <v>0</v>
      </c>
      <c r="K61" s="13">
        <v>3</v>
      </c>
      <c r="L61" s="13">
        <v>0</v>
      </c>
      <c r="M61" s="13">
        <v>0</v>
      </c>
      <c r="N61" s="13">
        <v>0</v>
      </c>
      <c r="O61" s="13">
        <f t="shared" si="0"/>
        <v>3</v>
      </c>
      <c r="P61" t="s">
        <v>84</v>
      </c>
      <c r="Q61" t="s">
        <v>40</v>
      </c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spans="1:41" ht="15.75" customHeight="1" x14ac:dyDescent="0.25">
      <c r="A62" s="21"/>
      <c r="B62" s="10"/>
      <c r="C62" s="10" t="s">
        <v>229</v>
      </c>
      <c r="D62" s="10" t="s">
        <v>230</v>
      </c>
      <c r="E62" s="10" t="s">
        <v>231</v>
      </c>
      <c r="F62" s="11">
        <v>1</v>
      </c>
      <c r="G62" s="10" t="s">
        <v>38</v>
      </c>
      <c r="H62" s="11">
        <v>1849</v>
      </c>
      <c r="I62" s="11"/>
      <c r="J62" s="13">
        <v>0</v>
      </c>
      <c r="K62" s="13">
        <v>2</v>
      </c>
      <c r="L62" s="13">
        <v>0</v>
      </c>
      <c r="M62" s="13">
        <v>0</v>
      </c>
      <c r="N62" s="13">
        <v>0</v>
      </c>
      <c r="O62" s="13">
        <f t="shared" si="0"/>
        <v>2</v>
      </c>
      <c r="P62" t="s">
        <v>232</v>
      </c>
      <c r="Q62" t="s">
        <v>139</v>
      </c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spans="1:41" ht="15.75" customHeight="1" x14ac:dyDescent="0.25">
      <c r="A63" s="1">
        <v>2051</v>
      </c>
      <c r="B63" t="s">
        <v>233</v>
      </c>
      <c r="C63" t="s">
        <v>168</v>
      </c>
      <c r="D63" t="s">
        <v>234</v>
      </c>
      <c r="E63" t="s">
        <v>184</v>
      </c>
      <c r="F63" s="19">
        <v>1</v>
      </c>
      <c r="G63" t="s">
        <v>38</v>
      </c>
      <c r="H63" s="19">
        <v>1849</v>
      </c>
      <c r="I63" s="19"/>
      <c r="J63" s="13">
        <v>0</v>
      </c>
      <c r="K63" s="13">
        <v>2</v>
      </c>
      <c r="L63" s="13">
        <v>0</v>
      </c>
      <c r="M63" s="13">
        <v>0</v>
      </c>
      <c r="N63" s="13">
        <v>0</v>
      </c>
      <c r="O63" s="13">
        <f t="shared" si="0"/>
        <v>2</v>
      </c>
      <c r="P63" t="s">
        <v>235</v>
      </c>
      <c r="Q63" t="s">
        <v>32</v>
      </c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spans="1:41" ht="15.75" customHeight="1" x14ac:dyDescent="0.25">
      <c r="A64" s="1">
        <v>3379</v>
      </c>
      <c r="B64" t="s">
        <v>236</v>
      </c>
      <c r="C64" t="s">
        <v>237</v>
      </c>
      <c r="D64" t="s">
        <v>238</v>
      </c>
      <c r="E64" t="s">
        <v>239</v>
      </c>
      <c r="F64" s="19">
        <v>1</v>
      </c>
      <c r="G64" t="s">
        <v>38</v>
      </c>
      <c r="H64" s="19">
        <v>1849</v>
      </c>
      <c r="I64" s="19"/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f t="shared" si="0"/>
        <v>0</v>
      </c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</row>
    <row r="65" spans="1:41" ht="15.75" customHeight="1" x14ac:dyDescent="0.25">
      <c r="A65" s="1">
        <v>1883</v>
      </c>
      <c r="B65" t="s">
        <v>240</v>
      </c>
      <c r="C65" t="s">
        <v>241</v>
      </c>
      <c r="D65" t="s">
        <v>242</v>
      </c>
      <c r="E65" t="s">
        <v>243</v>
      </c>
      <c r="F65" s="19">
        <v>2</v>
      </c>
      <c r="G65" t="s">
        <v>244</v>
      </c>
      <c r="H65" s="19">
        <v>1849</v>
      </c>
      <c r="I65" s="19"/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f t="shared" si="0"/>
        <v>0</v>
      </c>
      <c r="P65" t="s">
        <v>190</v>
      </c>
      <c r="Q65" t="s">
        <v>24</v>
      </c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</sheetData>
  <hyperlinks>
    <hyperlink ref="B2" r:id="rId1" display="https://urn.nb.no/URN:NBN:no-nb_digibok_2019110448027" xr:uid="{B9D09F2B-2A82-408B-B719-92B42D4271AB}"/>
    <hyperlink ref="B4" r:id="rId2" display="https://urn.nb.no/URN:NBN:no-nb_digibok_2012041113010" xr:uid="{474E5D7D-CDA3-4254-831B-32D46C14713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6B6ADB4D67017478AFC75DE9D795CDB" ma:contentTypeVersion="14" ma:contentTypeDescription="Opprett et nytt dokument." ma:contentTypeScope="" ma:versionID="bf5d8f297e60dd789d7baa7231362da8">
  <xsd:schema xmlns:xsd="http://www.w3.org/2001/XMLSchema" xmlns:xs="http://www.w3.org/2001/XMLSchema" xmlns:p="http://schemas.microsoft.com/office/2006/metadata/properties" xmlns:ns2="0b5d5be9-3b71-49c1-857e-d08299f737f1" xmlns:ns3="be1694f4-5f3c-414b-a0d5-76dbb4ff068c" targetNamespace="http://schemas.microsoft.com/office/2006/metadata/properties" ma:root="true" ma:fieldsID="cea35e5cc6faa124553a872d2eb7f3cb" ns2:_="" ns3:_="">
    <xsd:import namespace="0b5d5be9-3b71-49c1-857e-d08299f737f1"/>
    <xsd:import namespace="be1694f4-5f3c-414b-a0d5-76dbb4ff0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5d5be9-3b71-49c1-857e-d08299f737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c22fd018-c39b-462c-89de-126a365ef1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694f4-5f3c-414b-a0d5-76dbb4ff068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ddb5a75-63f5-4e33-8e67-aa47344988ff}" ma:internalName="TaxCatchAll" ma:showField="CatchAllData" ma:web="be1694f4-5f3c-414b-a0d5-76dbb4ff0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1694f4-5f3c-414b-a0d5-76dbb4ff068c" xsi:nil="true"/>
    <lcf76f155ced4ddcb4097134ff3c332f xmlns="0b5d5be9-3b71-49c1-857e-d08299f737f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47638D-E35C-490D-B2B5-B7F2E2260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5d5be9-3b71-49c1-857e-d08299f737f1"/>
    <ds:schemaRef ds:uri="be1694f4-5f3c-414b-a0d5-76dbb4ff0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32A1B5-470A-481B-8AF5-E12F4BD885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D500B0-19D3-49C3-BC5D-34B3153609C1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0b5d5be9-3b71-49c1-857e-d08299f737f1"/>
    <ds:schemaRef ds:uri="http://purl.org/dc/dcmitype/"/>
    <ds:schemaRef ds:uri="http://schemas.openxmlformats.org/package/2006/metadata/core-properties"/>
    <ds:schemaRef ds:uri="be1694f4-5f3c-414b-a0d5-76dbb4ff068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Heidi Karlsen</dc:creator>
  <cp:keywords/>
  <dc:description/>
  <cp:lastModifiedBy>Heidi Karlsen</cp:lastModifiedBy>
  <cp:revision/>
  <dcterms:created xsi:type="dcterms:W3CDTF">2026-01-08T10:02:29Z</dcterms:created>
  <dcterms:modified xsi:type="dcterms:W3CDTF">2026-02-18T07:27:03Z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0x01010046B6ADB4D67017478AFC75DE9D795CDB</vt:lpwstr>
  </property>
  <property fmtid="{D5CDD505-2E9C-101B-9397-08002B2CF9AE}" pid="3" name="MediaServiceImageTags">
    <vt:lpwstr/>
  </property>
</Properties>
</file>